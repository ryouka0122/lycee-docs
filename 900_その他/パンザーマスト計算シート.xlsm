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19395" windowHeight="9645"/>
  </bookViews>
  <sheets>
    <sheet name="計算シート" sheetId="2" r:id="rId1"/>
    <sheet name="部材リスト" sheetId="1" r:id="rId2"/>
    <sheet name="Sheet3" sheetId="3" r:id="rId3"/>
  </sheets>
  <functionGroups builtInGroupCount="17"/>
  <definedNames>
    <definedName name="PM_B">部材リスト!$A$10:$F$19</definedName>
    <definedName name="PM_C">部材リスト!$A$20:$F$29</definedName>
    <definedName name="PM_S">部材リスト!$A$30:$F$39</definedName>
    <definedName name="PM_Z">部材リスト!$A$2:$F$9</definedName>
    <definedName name="X直径">計算シート!$X$14</definedName>
    <definedName name="X部材位置">計算シート!$X$16</definedName>
    <definedName name="X部材番号">計算シート!$X$12</definedName>
    <definedName name="マスト型式名">計算シート!$G$8</definedName>
    <definedName name="部材種類">計算シート!$G$2</definedName>
    <definedName name="部材番号1">計算シート!$G$4</definedName>
    <definedName name="部材番号2">計算シート!$G$6</definedName>
    <definedName name="部材名">部材リスト!$I$2:$I$19</definedName>
    <definedName name="連結長さ">部材リスト!$J$2:$J$19</definedName>
  </definedNames>
  <calcPr calcId="145621"/>
</workbook>
</file>

<file path=xl/calcChain.xml><?xml version="1.0" encoding="utf-8"?>
<calcChain xmlns="http://schemas.openxmlformats.org/spreadsheetml/2006/main">
  <c r="K4" i="1" l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3" i="1"/>
  <c r="X2" i="2"/>
  <c r="X4" i="2"/>
  <c r="G8" i="2"/>
  <c r="X6" i="2" l="1"/>
</calcChain>
</file>

<file path=xl/sharedStrings.xml><?xml version="1.0" encoding="utf-8"?>
<sst xmlns="http://schemas.openxmlformats.org/spreadsheetml/2006/main" count="113" uniqueCount="46">
  <si>
    <t>部材</t>
    <rPh sb="0" eb="2">
      <t>ブザイ</t>
    </rPh>
    <phoneticPr fontId="2"/>
  </si>
  <si>
    <t>E1</t>
    <phoneticPr fontId="2"/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</si>
  <si>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</si>
  <si>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</si>
  <si>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</si>
  <si>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</si>
  <si>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</si>
  <si>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</si>
  <si>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</si>
  <si>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</si>
  <si>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</si>
  <si>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</si>
  <si>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</si>
  <si>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</si>
  <si>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</si>
  <si>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</si>
  <si>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</si>
  <si>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</si>
  <si>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</si>
  <si>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B</t>
    <phoneticPr fontId="2"/>
  </si>
  <si>
    <t>型</t>
    <rPh sb="0" eb="1">
      <t>カタ</t>
    </rPh>
    <phoneticPr fontId="2"/>
  </si>
  <si>
    <t>C</t>
    <phoneticPr fontId="2"/>
  </si>
  <si>
    <t>S</t>
    <phoneticPr fontId="2"/>
  </si>
  <si>
    <t>部材種類</t>
    <rPh sb="0" eb="2">
      <t>ブザイ</t>
    </rPh>
    <rPh sb="2" eb="4">
      <t>シュルイ</t>
    </rPh>
    <phoneticPr fontId="2"/>
  </si>
  <si>
    <t>連結位置</t>
    <rPh sb="0" eb="2">
      <t>レンケツ</t>
    </rPh>
    <rPh sb="2" eb="4">
      <t>イチ</t>
    </rPh>
    <phoneticPr fontId="2"/>
  </si>
  <si>
    <t>-</t>
    <phoneticPr fontId="2"/>
  </si>
  <si>
    <t>PM_B</t>
  </si>
  <si>
    <t>マスト型式名</t>
    <rPh sb="3" eb="6">
      <t>ケイシキメイ</t>
    </rPh>
    <phoneticPr fontId="2"/>
  </si>
  <si>
    <t>部材番号１</t>
    <rPh sb="0" eb="2">
      <t>ブザイ</t>
    </rPh>
    <rPh sb="2" eb="4">
      <t>バンゴウ</t>
    </rPh>
    <phoneticPr fontId="2"/>
  </si>
  <si>
    <t>部材番号２</t>
    <rPh sb="0" eb="2">
      <t>ブザイ</t>
    </rPh>
    <rPh sb="2" eb="4">
      <t>バンゴウ</t>
    </rPh>
    <phoneticPr fontId="2"/>
  </si>
  <si>
    <t>上部からの任意の位置</t>
    <rPh sb="0" eb="2">
      <t>ジョウブ</t>
    </rPh>
    <rPh sb="5" eb="7">
      <t>ニンイ</t>
    </rPh>
    <rPh sb="8" eb="10">
      <t>イチ</t>
    </rPh>
    <phoneticPr fontId="2"/>
  </si>
  <si>
    <t>X =</t>
    <phoneticPr fontId="2"/>
  </si>
  <si>
    <t>マストの全長</t>
    <rPh sb="4" eb="6">
      <t>ゼンチョウ</t>
    </rPh>
    <phoneticPr fontId="2"/>
  </si>
  <si>
    <t>板厚[mm]</t>
    <rPh sb="0" eb="2">
      <t>イタアツ</t>
    </rPh>
    <phoneticPr fontId="2"/>
  </si>
  <si>
    <t>質量[kg]</t>
    <rPh sb="0" eb="2">
      <t>シツリョウ</t>
    </rPh>
    <phoneticPr fontId="2"/>
  </si>
  <si>
    <t>末口径[cm]</t>
    <rPh sb="0" eb="1">
      <t>マツ</t>
    </rPh>
    <rPh sb="1" eb="3">
      <t>コウケイ</t>
    </rPh>
    <phoneticPr fontId="2"/>
  </si>
  <si>
    <t>元口径[cm]</t>
    <rPh sb="0" eb="1">
      <t>モト</t>
    </rPh>
    <rPh sb="1" eb="3">
      <t>コウケイ</t>
    </rPh>
    <phoneticPr fontId="2"/>
  </si>
  <si>
    <t>連結長さ[cm]</t>
    <rPh sb="0" eb="2">
      <t>レンケツ</t>
    </rPh>
    <rPh sb="2" eb="3">
      <t>ナガ</t>
    </rPh>
    <phoneticPr fontId="2"/>
  </si>
  <si>
    <t>マストの全身</t>
    <rPh sb="4" eb="6">
      <t>ゼンシン</t>
    </rPh>
    <phoneticPr fontId="2"/>
  </si>
  <si>
    <t>連結時部材表出長さ[m]</t>
    <rPh sb="0" eb="2">
      <t>レンケツ</t>
    </rPh>
    <rPh sb="2" eb="3">
      <t>ジ</t>
    </rPh>
    <rPh sb="3" eb="5">
      <t>ブザイ</t>
    </rPh>
    <rPh sb="5" eb="7">
      <t>ヒョウシュツ</t>
    </rPh>
    <rPh sb="7" eb="8">
      <t>ナガ</t>
    </rPh>
    <phoneticPr fontId="2"/>
  </si>
  <si>
    <t>その時の直径R</t>
    <rPh sb="2" eb="3">
      <t>トキ</t>
    </rPh>
    <rPh sb="4" eb="6">
      <t>チョッケイ</t>
    </rPh>
    <phoneticPr fontId="2"/>
  </si>
  <si>
    <t>その時の部材位置</t>
    <rPh sb="2" eb="3">
      <t>トキ</t>
    </rPh>
    <rPh sb="4" eb="6">
      <t>ブザイ</t>
    </rPh>
    <rPh sb="6" eb="8">
      <t>イチ</t>
    </rPh>
    <phoneticPr fontId="2"/>
  </si>
  <si>
    <t>任意点Xに関する情報</t>
    <rPh sb="0" eb="2">
      <t>ニンイ</t>
    </rPh>
    <rPh sb="2" eb="3">
      <t>テン</t>
    </rPh>
    <rPh sb="5" eb="6">
      <t>カン</t>
    </rPh>
    <rPh sb="8" eb="10">
      <t>ジョウホウ</t>
    </rPh>
    <phoneticPr fontId="2"/>
  </si>
  <si>
    <t>Xに位置する部材番号</t>
    <rPh sb="2" eb="4">
      <t>イチ</t>
    </rPh>
    <rPh sb="6" eb="8">
      <t>ブザイ</t>
    </rPh>
    <rPh sb="8" eb="10">
      <t>バンゴウ</t>
    </rPh>
    <phoneticPr fontId="2"/>
  </si>
  <si>
    <t>E10</t>
    <phoneticPr fontId="2"/>
  </si>
  <si>
    <t>連結部分全長</t>
    <rPh sb="0" eb="4">
      <t>レンケツブブン</t>
    </rPh>
    <rPh sb="4" eb="6">
      <t>ゼンチョウ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</si>
</sst>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7" formatCode="0.00\ &quot;m&quot;"/>
    <numFmt numFmtId="178" formatCode="0.00\ &quot;cm&quot;"/>
  </numFmts>
  <fonts count="4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1" applyNumberFormat="1" applyFont="1">
      <alignment vertical="center"/>
    </xf>
    <xf numFmtId="2" fontId="0" fillId="0" borderId="0" xfId="1" applyNumberFormat="1" applyFont="1">
      <alignment vertical="center"/>
    </xf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7" fontId="0" fillId="3" borderId="1" xfId="0" applyNumberFormat="1" applyFill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177" fontId="0" fillId="0" borderId="2" xfId="1" applyNumberFormat="1" applyFon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2" fontId="0" fillId="0" borderId="0" xfId="0" applyNumberFormat="1">
      <alignment vertical="center"/>
    </xf>
    <xf numFmtId="0" fontId="3" fillId="0" borderId="0" xfId="0" applyFont="1">
      <alignment vertical="center"/>
    </xf>
    <xf numFmtId="178" fontId="0" fillId="0" borderId="2" xfId="0" applyNumberFormat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14</xdr:row>
          <xdr:rowOff>104775</xdr:rowOff>
        </xdr:from>
        <xdr:to>
          <xdr:col>6</xdr:col>
          <xdr:colOff>104775</xdr:colOff>
          <xdr:row>16</xdr:row>
          <xdr:rowOff>133350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18</xdr:row>
          <xdr:rowOff>28575</xdr:rowOff>
        </xdr:from>
        <xdr:to>
          <xdr:col>7</xdr:col>
          <xdr:colOff>9525</xdr:colOff>
          <xdr:row>20</xdr:row>
          <xdr:rowOff>76200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53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AA16"/>
  <sheetViews>
    <sheetView tabSelected="1" workbookViewId="0">
      <selection activeCell="AN11" sqref="AN11"/>
    </sheetView>
  </sheetViews>
  <sheetFormatPr defaultColWidth="2.5" defaultRowHeight="13.5" x14ac:dyDescent="0.15"/>
  <sheetData>
    <row r="2" spans="2:27" ht="14.25" thickBot="1" x14ac:dyDescent="0.2">
      <c r="B2" t="s">
        <v>23</v>
      </c>
      <c r="G2" s="4" t="s">
        <v>26</v>
      </c>
      <c r="H2" s="4"/>
      <c r="I2" s="4"/>
      <c r="J2" s="4"/>
      <c r="R2" t="s">
        <v>38</v>
      </c>
      <c r="X2" s="7">
        <f>(1+SUBSTITUTE(G6,"E","")-SUBSTITUTE(G4,"E",""))*2</f>
        <v>12</v>
      </c>
      <c r="Y2" s="7"/>
      <c r="Z2" s="7"/>
      <c r="AA2" s="7"/>
    </row>
    <row r="3" spans="2:27" ht="14.25" thickTop="1" x14ac:dyDescent="0.15"/>
    <row r="4" spans="2:27" ht="14.25" thickBot="1" x14ac:dyDescent="0.2">
      <c r="B4" t="s">
        <v>28</v>
      </c>
      <c r="G4" s="4" t="s">
        <v>10</v>
      </c>
      <c r="H4" s="4"/>
      <c r="I4" s="4"/>
      <c r="J4" s="4"/>
      <c r="R4" t="s">
        <v>45</v>
      </c>
      <c r="X4" s="8">
        <f ca="1">SUM(OFFSET(部材リスト!$J$2,MATCH($G$4,部材リスト!$I$2:$I$19,0),0,MATCH($G$6,部材リスト!$I$2:$I$19,0)-MATCH($G$4,部材リスト!$I$2:$I$19,0),1))/100</f>
        <v>3.04</v>
      </c>
      <c r="Y4" s="8"/>
      <c r="Z4" s="8"/>
      <c r="AA4" s="8"/>
    </row>
    <row r="5" spans="2:27" ht="14.25" thickTop="1" x14ac:dyDescent="0.15"/>
    <row r="6" spans="2:27" ht="14.25" thickBot="1" x14ac:dyDescent="0.2">
      <c r="B6" t="s">
        <v>29</v>
      </c>
      <c r="G6" s="4" t="s">
        <v>15</v>
      </c>
      <c r="H6" s="4"/>
      <c r="I6" s="4"/>
      <c r="J6" s="4"/>
      <c r="R6" t="s">
        <v>32</v>
      </c>
      <c r="X6" s="8">
        <f ca="1">X2-X4</f>
        <v>8.9600000000000009</v>
      </c>
      <c r="Y6" s="8"/>
      <c r="Z6" s="8"/>
      <c r="AA6" s="8"/>
    </row>
    <row r="7" spans="2:27" ht="14.25" thickTop="1" x14ac:dyDescent="0.15"/>
    <row r="8" spans="2:27" x14ac:dyDescent="0.15">
      <c r="B8" t="s">
        <v>27</v>
      </c>
      <c r="G8" s="3" t="str">
        <f>"R"&amp;SUBSTITUTE(G4,"E","")&amp;SUBSTITUTE(G6,"E","")&amp;IF(RIGHT(G2,1)="-","",RIGHT(G2,1))</f>
        <v>R1015B</v>
      </c>
      <c r="H8" s="3"/>
      <c r="I8" s="3"/>
      <c r="J8" s="3"/>
    </row>
    <row r="9" spans="2:27" x14ac:dyDescent="0.15">
      <c r="Q9" s="10" t="s">
        <v>42</v>
      </c>
    </row>
    <row r="11" spans="2:27" x14ac:dyDescent="0.15">
      <c r="B11" t="s">
        <v>30</v>
      </c>
      <c r="R11" t="s">
        <v>43</v>
      </c>
    </row>
    <row r="12" spans="2:27" x14ac:dyDescent="0.15">
      <c r="X12" s="6" t="s">
        <v>44</v>
      </c>
      <c r="Y12" s="6"/>
      <c r="Z12" s="6"/>
      <c r="AA12" s="6"/>
    </row>
    <row r="13" spans="2:27" ht="14.25" thickBot="1" x14ac:dyDescent="0.2">
      <c r="E13" t="s">
        <v>31</v>
      </c>
      <c r="G13" s="5">
        <v>2</v>
      </c>
      <c r="H13" s="5"/>
      <c r="I13" s="5"/>
      <c r="J13" s="5"/>
      <c r="R13" t="s">
        <v>40</v>
      </c>
    </row>
    <row r="14" spans="2:27" ht="14.25" thickTop="1" x14ac:dyDescent="0.15">
      <c r="X14" s="11">
        <v>46.41</v>
      </c>
      <c r="Y14" s="11"/>
      <c r="Z14" s="11"/>
      <c r="AA14" s="11"/>
    </row>
    <row r="15" spans="2:27" x14ac:dyDescent="0.15">
      <c r="R15" t="s">
        <v>41</v>
      </c>
    </row>
    <row r="16" spans="2:27" x14ac:dyDescent="0.15">
      <c r="X16" s="8">
        <v>2</v>
      </c>
      <c r="Y16" s="8"/>
      <c r="Z16" s="8"/>
      <c r="AA16" s="8"/>
    </row>
  </sheetData>
  <mergeCells count="11">
    <mergeCell ref="X16:AA16"/>
    <mergeCell ref="X2:AA2"/>
    <mergeCell ref="X4:AA4"/>
    <mergeCell ref="X6:AA6"/>
    <mergeCell ref="X12:AA12"/>
    <mergeCell ref="X14:AA14"/>
    <mergeCell ref="G8:J8"/>
    <mergeCell ref="G6:J6"/>
    <mergeCell ref="G4:J4"/>
    <mergeCell ref="G2:J2"/>
    <mergeCell ref="G13:J13"/>
  </mergeCells>
  <phoneticPr fontId="2"/>
  <dataValidations count="2">
    <dataValidation type="list" allowBlank="1" showInputMessage="1" showErrorMessage="1" sqref="G2">
      <formula1>"-,PM_B,PM_C,PM_S"</formula1>
    </dataValidation>
    <dataValidation type="list" allowBlank="1" showInputMessage="1" showErrorMessage="1" sqref="G4 G6">
      <formula1>部材名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ボタン7_Click">
                <anchor moveWithCells="1" sizeWithCells="1">
                  <from>
                    <xdr:col>1</xdr:col>
                    <xdr:colOff>104775</xdr:colOff>
                    <xdr:row>14</xdr:row>
                    <xdr:rowOff>104775</xdr:rowOff>
                  </from>
                  <to>
                    <xdr:col>6</xdr:col>
                    <xdr:colOff>104775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" name="Button 53">
              <controlPr defaultSize="0" print="0" autoFill="0" autoPict="0" macro="[0]!ボタン53_Click">
                <anchor moveWithCells="1" sizeWithCells="1">
                  <from>
                    <xdr:col>1</xdr:col>
                    <xdr:colOff>180975</xdr:colOff>
                    <xdr:row>18</xdr:row>
                    <xdr:rowOff>28575</xdr:rowOff>
                  </from>
                  <to>
                    <xdr:col>7</xdr:col>
                    <xdr:colOff>9525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9"/>
  <sheetViews>
    <sheetView workbookViewId="0">
      <selection activeCell="A11" sqref="A11:XFD11"/>
    </sheetView>
  </sheetViews>
  <sheetFormatPr defaultRowHeight="13.5" x14ac:dyDescent="0.15"/>
  <cols>
    <col min="2" max="2" width="4.75" customWidth="1"/>
    <col min="3" max="6" width="9" style="1"/>
    <col min="11" max="11" width="12.5" bestFit="1" customWidth="1"/>
  </cols>
  <sheetData>
    <row r="1" spans="1:11" x14ac:dyDescent="0.15">
      <c r="A1" t="s">
        <v>0</v>
      </c>
      <c r="B1" t="s">
        <v>20</v>
      </c>
      <c r="C1" s="1" t="s">
        <v>33</v>
      </c>
      <c r="D1" s="1" t="s">
        <v>34</v>
      </c>
      <c r="E1" s="1" t="s">
        <v>35</v>
      </c>
      <c r="F1" s="1" t="s">
        <v>36</v>
      </c>
      <c r="I1" t="s">
        <v>24</v>
      </c>
      <c r="J1" t="s">
        <v>37</v>
      </c>
      <c r="K1" t="s">
        <v>39</v>
      </c>
    </row>
    <row r="2" spans="1:11" x14ac:dyDescent="0.15">
      <c r="A2" t="s">
        <v>1</v>
      </c>
      <c r="C2" s="2">
        <v>1</v>
      </c>
      <c r="D2" s="2">
        <v>7</v>
      </c>
      <c r="E2" s="2">
        <v>10.029999999999999</v>
      </c>
      <c r="F2" s="2">
        <v>14.18</v>
      </c>
      <c r="I2" t="s">
        <v>1</v>
      </c>
      <c r="J2" t="s">
        <v>25</v>
      </c>
      <c r="K2" s="9">
        <v>2</v>
      </c>
    </row>
    <row r="3" spans="1:11" x14ac:dyDescent="0.15">
      <c r="A3" t="s">
        <v>2</v>
      </c>
      <c r="C3" s="2">
        <v>1.1000000000000001</v>
      </c>
      <c r="D3" s="2">
        <v>10</v>
      </c>
      <c r="E3" s="2">
        <v>13.53</v>
      </c>
      <c r="F3" s="2">
        <v>17.78</v>
      </c>
      <c r="I3" t="s">
        <v>2</v>
      </c>
      <c r="J3">
        <v>20</v>
      </c>
      <c r="K3" s="9">
        <f>2-J3/100</f>
        <v>1.8</v>
      </c>
    </row>
    <row r="4" spans="1:11" x14ac:dyDescent="0.15">
      <c r="A4" t="s">
        <v>3</v>
      </c>
      <c r="C4" s="2">
        <v>1.3</v>
      </c>
      <c r="D4" s="2">
        <v>14</v>
      </c>
      <c r="E4" s="2">
        <v>17.059999999999999</v>
      </c>
      <c r="F4" s="2">
        <v>21.41</v>
      </c>
      <c r="I4" t="s">
        <v>3</v>
      </c>
      <c r="J4">
        <v>22</v>
      </c>
      <c r="K4" s="9">
        <f t="shared" ref="K4:K19" si="0">2-J4/100</f>
        <v>1.78</v>
      </c>
    </row>
    <row r="5" spans="1:11" x14ac:dyDescent="0.15">
      <c r="A5" t="s">
        <v>4</v>
      </c>
      <c r="C5" s="2">
        <v>1.5</v>
      </c>
      <c r="D5" s="2">
        <v>19</v>
      </c>
      <c r="E5" s="2">
        <v>20.56</v>
      </c>
      <c r="F5" s="2">
        <v>24.04</v>
      </c>
      <c r="I5" t="s">
        <v>4</v>
      </c>
      <c r="J5">
        <v>26</v>
      </c>
      <c r="K5" s="9">
        <f t="shared" si="0"/>
        <v>1.74</v>
      </c>
    </row>
    <row r="6" spans="1:11" x14ac:dyDescent="0.15">
      <c r="A6" t="s">
        <v>5</v>
      </c>
      <c r="C6" s="2">
        <v>1.7</v>
      </c>
      <c r="D6" s="2">
        <v>24</v>
      </c>
      <c r="E6" s="2">
        <v>24</v>
      </c>
      <c r="F6" s="2">
        <v>28.65</v>
      </c>
      <c r="I6" t="s">
        <v>5</v>
      </c>
      <c r="J6">
        <v>30</v>
      </c>
      <c r="K6" s="9">
        <f t="shared" si="0"/>
        <v>1.7</v>
      </c>
    </row>
    <row r="7" spans="1:11" x14ac:dyDescent="0.15">
      <c r="A7" t="s">
        <v>6</v>
      </c>
      <c r="C7" s="2">
        <v>1.9</v>
      </c>
      <c r="D7" s="2">
        <v>31</v>
      </c>
      <c r="E7" s="2">
        <v>27.47</v>
      </c>
      <c r="F7" s="2">
        <v>32.18</v>
      </c>
      <c r="I7" t="s">
        <v>6</v>
      </c>
      <c r="J7">
        <v>34</v>
      </c>
      <c r="K7" s="9">
        <f t="shared" si="0"/>
        <v>1.66</v>
      </c>
    </row>
    <row r="8" spans="1:11" x14ac:dyDescent="0.15">
      <c r="A8" t="s">
        <v>7</v>
      </c>
      <c r="C8" s="2">
        <v>2.1</v>
      </c>
      <c r="D8" s="2">
        <v>37</v>
      </c>
      <c r="E8" s="2">
        <v>30.84</v>
      </c>
      <c r="F8" s="2">
        <v>35.65</v>
      </c>
      <c r="I8" t="s">
        <v>7</v>
      </c>
      <c r="J8">
        <v>38</v>
      </c>
      <c r="K8" s="9">
        <f t="shared" si="0"/>
        <v>1.62</v>
      </c>
    </row>
    <row r="9" spans="1:11" x14ac:dyDescent="0.15">
      <c r="A9" t="s">
        <v>8</v>
      </c>
      <c r="C9" s="2">
        <v>2.1</v>
      </c>
      <c r="D9" s="2">
        <v>41</v>
      </c>
      <c r="E9" s="2">
        <v>34.14</v>
      </c>
      <c r="F9" s="2">
        <v>39.119999999999997</v>
      </c>
      <c r="I9" t="s">
        <v>8</v>
      </c>
      <c r="J9">
        <v>42</v>
      </c>
      <c r="K9" s="9">
        <f t="shared" si="0"/>
        <v>1.58</v>
      </c>
    </row>
    <row r="10" spans="1:11" x14ac:dyDescent="0.15">
      <c r="A10" t="s">
        <v>9</v>
      </c>
      <c r="B10" t="s">
        <v>19</v>
      </c>
      <c r="C10" s="2">
        <v>2.1</v>
      </c>
      <c r="D10" s="2">
        <v>46</v>
      </c>
      <c r="E10" s="2">
        <v>37.5</v>
      </c>
      <c r="F10" s="2">
        <v>42.72</v>
      </c>
      <c r="I10" t="s">
        <v>9</v>
      </c>
      <c r="J10">
        <v>46</v>
      </c>
      <c r="K10" s="9">
        <f t="shared" si="0"/>
        <v>1.54</v>
      </c>
    </row>
    <row r="11" spans="1:11" x14ac:dyDescent="0.15">
      <c r="A11" t="s">
        <v>10</v>
      </c>
      <c r="B11" t="s">
        <v>19</v>
      </c>
      <c r="C11" s="2">
        <v>2.1</v>
      </c>
      <c r="D11" s="2">
        <v>50</v>
      </c>
      <c r="E11" s="2">
        <v>40.869999999999997</v>
      </c>
      <c r="F11" s="2">
        <v>46.41</v>
      </c>
      <c r="I11" t="s">
        <v>10</v>
      </c>
      <c r="J11">
        <v>50</v>
      </c>
      <c r="K11" s="9">
        <f t="shared" si="0"/>
        <v>1.5</v>
      </c>
    </row>
    <row r="12" spans="1:11" x14ac:dyDescent="0.15">
      <c r="A12" t="s">
        <v>11</v>
      </c>
      <c r="B12" t="s">
        <v>19</v>
      </c>
      <c r="C12" s="2">
        <v>2.1</v>
      </c>
      <c r="D12" s="2">
        <v>54</v>
      </c>
      <c r="E12" s="2">
        <v>44.37</v>
      </c>
      <c r="F12" s="2">
        <v>50.17</v>
      </c>
      <c r="I12" t="s">
        <v>11</v>
      </c>
      <c r="J12">
        <v>54</v>
      </c>
      <c r="K12" s="9">
        <f t="shared" si="0"/>
        <v>1.46</v>
      </c>
    </row>
    <row r="13" spans="1:11" x14ac:dyDescent="0.15">
      <c r="A13" t="s">
        <v>12</v>
      </c>
      <c r="B13" t="s">
        <v>19</v>
      </c>
      <c r="C13" s="2">
        <v>2.1</v>
      </c>
      <c r="D13" s="2">
        <v>58</v>
      </c>
      <c r="E13" s="2">
        <v>48.03</v>
      </c>
      <c r="F13" s="2">
        <v>53.95</v>
      </c>
      <c r="I13" t="s">
        <v>12</v>
      </c>
      <c r="J13">
        <v>58</v>
      </c>
      <c r="K13" s="9">
        <f t="shared" si="0"/>
        <v>1.42</v>
      </c>
    </row>
    <row r="14" spans="1:11" x14ac:dyDescent="0.15">
      <c r="A14" t="s">
        <v>13</v>
      </c>
      <c r="B14" t="s">
        <v>19</v>
      </c>
      <c r="C14" s="2">
        <v>2.1</v>
      </c>
      <c r="D14" s="2">
        <v>62</v>
      </c>
      <c r="E14" s="2">
        <v>51.66</v>
      </c>
      <c r="F14" s="2">
        <v>57.68</v>
      </c>
      <c r="I14" t="s">
        <v>13</v>
      </c>
      <c r="J14">
        <v>60</v>
      </c>
      <c r="K14" s="9">
        <f t="shared" si="0"/>
        <v>1.4</v>
      </c>
    </row>
    <row r="15" spans="1:11" x14ac:dyDescent="0.15">
      <c r="A15" t="s">
        <v>14</v>
      </c>
      <c r="B15" t="s">
        <v>19</v>
      </c>
      <c r="C15" s="2">
        <v>2.1</v>
      </c>
      <c r="D15" s="2">
        <v>66</v>
      </c>
      <c r="E15" s="2">
        <v>55.26</v>
      </c>
      <c r="F15" s="2">
        <v>61.37</v>
      </c>
      <c r="I15" t="s">
        <v>14</v>
      </c>
      <c r="J15">
        <v>64</v>
      </c>
      <c r="K15" s="9">
        <f t="shared" si="0"/>
        <v>1.3599999999999999</v>
      </c>
    </row>
    <row r="16" spans="1:11" x14ac:dyDescent="0.15">
      <c r="A16" t="s">
        <v>15</v>
      </c>
      <c r="B16" t="s">
        <v>19</v>
      </c>
      <c r="C16" s="2">
        <v>2.1</v>
      </c>
      <c r="D16" s="2">
        <v>70</v>
      </c>
      <c r="E16" s="2">
        <v>58.82</v>
      </c>
      <c r="F16" s="2">
        <v>64.94</v>
      </c>
      <c r="I16" t="s">
        <v>15</v>
      </c>
      <c r="J16">
        <v>68</v>
      </c>
      <c r="K16" s="9">
        <f t="shared" si="0"/>
        <v>1.3199999999999998</v>
      </c>
    </row>
    <row r="17" spans="1:11" x14ac:dyDescent="0.15">
      <c r="A17" t="s">
        <v>16</v>
      </c>
      <c r="B17" t="s">
        <v>19</v>
      </c>
      <c r="C17" s="2">
        <v>2.1</v>
      </c>
      <c r="D17" s="2">
        <v>73</v>
      </c>
      <c r="E17" s="2">
        <v>62.23</v>
      </c>
      <c r="F17" s="2">
        <v>68.400000000000006</v>
      </c>
      <c r="I17" t="s">
        <v>16</v>
      </c>
      <c r="J17">
        <v>72</v>
      </c>
      <c r="K17" s="9">
        <f t="shared" si="0"/>
        <v>1.28</v>
      </c>
    </row>
    <row r="18" spans="1:11" x14ac:dyDescent="0.15">
      <c r="A18" t="s">
        <v>17</v>
      </c>
      <c r="B18" t="s">
        <v>19</v>
      </c>
      <c r="C18" s="2">
        <v>2.1</v>
      </c>
      <c r="D18" s="2">
        <v>77</v>
      </c>
      <c r="E18" s="2">
        <v>65.45</v>
      </c>
      <c r="F18" s="2">
        <v>72</v>
      </c>
      <c r="I18" t="s">
        <v>17</v>
      </c>
      <c r="J18">
        <v>74</v>
      </c>
      <c r="K18" s="9">
        <f t="shared" si="0"/>
        <v>1.26</v>
      </c>
    </row>
    <row r="19" spans="1:11" x14ac:dyDescent="0.15">
      <c r="A19" t="s">
        <v>18</v>
      </c>
      <c r="B19" t="s">
        <v>19</v>
      </c>
      <c r="C19" s="2">
        <v>2.1</v>
      </c>
      <c r="D19" s="2">
        <v>81</v>
      </c>
      <c r="E19" s="2">
        <v>68.97</v>
      </c>
      <c r="F19" s="2">
        <v>75.66</v>
      </c>
      <c r="I19" t="s">
        <v>18</v>
      </c>
      <c r="J19">
        <v>76</v>
      </c>
      <c r="K19" s="9">
        <f t="shared" si="0"/>
        <v>1.24</v>
      </c>
    </row>
    <row r="20" spans="1:11" x14ac:dyDescent="0.15">
      <c r="A20" t="s">
        <v>9</v>
      </c>
      <c r="B20" t="s">
        <v>21</v>
      </c>
      <c r="C20" s="2">
        <v>2.2000000000000002</v>
      </c>
      <c r="D20" s="2">
        <v>48</v>
      </c>
      <c r="E20" s="2">
        <v>37.5</v>
      </c>
      <c r="F20" s="2">
        <v>42.72</v>
      </c>
    </row>
    <row r="21" spans="1:11" x14ac:dyDescent="0.15">
      <c r="A21" t="s">
        <v>10</v>
      </c>
      <c r="B21" t="s">
        <v>21</v>
      </c>
      <c r="C21" s="2">
        <v>2.2000000000000002</v>
      </c>
      <c r="D21" s="2">
        <v>52</v>
      </c>
      <c r="E21" s="2">
        <v>40.86</v>
      </c>
      <c r="F21" s="2">
        <v>46.12</v>
      </c>
    </row>
    <row r="22" spans="1:11" x14ac:dyDescent="0.15">
      <c r="A22" t="s">
        <v>11</v>
      </c>
      <c r="B22" t="s">
        <v>21</v>
      </c>
      <c r="C22" s="2">
        <v>2.2000000000000002</v>
      </c>
      <c r="D22" s="2">
        <v>56</v>
      </c>
      <c r="E22" s="2">
        <v>44.12</v>
      </c>
      <c r="F22" s="2">
        <v>49.69</v>
      </c>
    </row>
    <row r="23" spans="1:11" x14ac:dyDescent="0.15">
      <c r="A23" t="s">
        <v>12</v>
      </c>
      <c r="B23" t="s">
        <v>21</v>
      </c>
      <c r="C23" s="2">
        <v>2.2999999999999998</v>
      </c>
      <c r="D23" s="2">
        <v>62</v>
      </c>
      <c r="E23" s="2">
        <v>47.52</v>
      </c>
      <c r="F23" s="2">
        <v>53.41</v>
      </c>
    </row>
    <row r="24" spans="1:11" x14ac:dyDescent="0.15">
      <c r="A24" t="s">
        <v>13</v>
      </c>
      <c r="B24" t="s">
        <v>21</v>
      </c>
      <c r="C24" s="2">
        <v>2.2999999999999998</v>
      </c>
      <c r="D24" s="2">
        <v>67</v>
      </c>
      <c r="E24" s="2">
        <v>51.06</v>
      </c>
      <c r="F24" s="2">
        <v>57.1</v>
      </c>
    </row>
    <row r="25" spans="1:11" x14ac:dyDescent="0.15">
      <c r="A25" t="s">
        <v>14</v>
      </c>
      <c r="B25" t="s">
        <v>21</v>
      </c>
      <c r="C25" s="2">
        <v>2.4</v>
      </c>
      <c r="D25" s="2">
        <v>74</v>
      </c>
      <c r="E25" s="2">
        <v>54.56</v>
      </c>
      <c r="F25" s="2">
        <v>60.83</v>
      </c>
    </row>
    <row r="26" spans="1:11" x14ac:dyDescent="0.15">
      <c r="A26" t="s">
        <v>15</v>
      </c>
      <c r="B26" t="s">
        <v>21</v>
      </c>
      <c r="C26" s="2">
        <v>2.4</v>
      </c>
      <c r="D26" s="2">
        <v>78</v>
      </c>
      <c r="E26" s="2">
        <v>58.03</v>
      </c>
      <c r="F26" s="2">
        <v>64.489999999999995</v>
      </c>
    </row>
    <row r="27" spans="1:11" x14ac:dyDescent="0.15">
      <c r="A27" t="s">
        <v>16</v>
      </c>
      <c r="B27" t="s">
        <v>21</v>
      </c>
      <c r="C27" s="2">
        <v>2.4</v>
      </c>
      <c r="D27" s="2">
        <v>83</v>
      </c>
      <c r="E27" s="2">
        <v>61.43</v>
      </c>
      <c r="F27" s="2">
        <v>68.25</v>
      </c>
    </row>
    <row r="28" spans="1:11" x14ac:dyDescent="0.15">
      <c r="A28" t="s">
        <v>17</v>
      </c>
      <c r="B28" t="s">
        <v>21</v>
      </c>
      <c r="C28" s="2">
        <v>2.6</v>
      </c>
      <c r="D28" s="2">
        <v>94</v>
      </c>
      <c r="E28" s="2">
        <v>65.13</v>
      </c>
      <c r="F28" s="2">
        <v>72</v>
      </c>
    </row>
    <row r="29" spans="1:11" x14ac:dyDescent="0.15">
      <c r="A29" t="s">
        <v>18</v>
      </c>
      <c r="B29" t="s">
        <v>21</v>
      </c>
      <c r="C29" s="2">
        <v>2.6</v>
      </c>
      <c r="D29" s="2">
        <v>99</v>
      </c>
      <c r="E29" s="2">
        <v>68.67</v>
      </c>
      <c r="F29" s="2">
        <v>75.66</v>
      </c>
    </row>
    <row r="30" spans="1:11" x14ac:dyDescent="0.15">
      <c r="A30" t="s">
        <v>9</v>
      </c>
      <c r="B30" t="s">
        <v>22</v>
      </c>
      <c r="C30" s="2">
        <v>2.2000000000000002</v>
      </c>
      <c r="D30" s="2">
        <v>48</v>
      </c>
      <c r="E30" s="2">
        <v>37.5</v>
      </c>
      <c r="F30" s="2">
        <v>42.72</v>
      </c>
    </row>
    <row r="31" spans="1:11" x14ac:dyDescent="0.15">
      <c r="A31" t="s">
        <v>10</v>
      </c>
      <c r="B31" t="s">
        <v>22</v>
      </c>
      <c r="C31" s="2">
        <v>2.2999999999999998</v>
      </c>
      <c r="D31" s="2">
        <v>54</v>
      </c>
      <c r="E31" s="2">
        <v>40.86</v>
      </c>
      <c r="F31" s="2">
        <v>46.12</v>
      </c>
    </row>
    <row r="32" spans="1:11" x14ac:dyDescent="0.15">
      <c r="A32" t="s">
        <v>11</v>
      </c>
      <c r="B32" t="s">
        <v>22</v>
      </c>
      <c r="C32" s="2">
        <v>2.4</v>
      </c>
      <c r="D32" s="2">
        <v>60</v>
      </c>
      <c r="E32" s="2">
        <v>44.12</v>
      </c>
      <c r="F32" s="2">
        <v>49.62</v>
      </c>
    </row>
    <row r="33" spans="1:6" x14ac:dyDescent="0.15">
      <c r="A33" t="s">
        <v>12</v>
      </c>
      <c r="B33" t="s">
        <v>22</v>
      </c>
      <c r="C33" s="2">
        <v>2.5</v>
      </c>
      <c r="D33" s="2">
        <v>47</v>
      </c>
      <c r="E33" s="2">
        <v>47.4</v>
      </c>
      <c r="F33" s="2">
        <v>53.25</v>
      </c>
    </row>
    <row r="34" spans="1:6" x14ac:dyDescent="0.15">
      <c r="A34" t="s">
        <v>13</v>
      </c>
      <c r="B34" t="s">
        <v>22</v>
      </c>
      <c r="C34" s="2">
        <v>2.5</v>
      </c>
      <c r="D34" s="2">
        <v>72</v>
      </c>
      <c r="E34" s="2">
        <v>50.8</v>
      </c>
      <c r="F34" s="2">
        <v>56.91</v>
      </c>
    </row>
    <row r="35" spans="1:6" x14ac:dyDescent="0.15">
      <c r="A35" t="s">
        <v>14</v>
      </c>
      <c r="B35" t="s">
        <v>22</v>
      </c>
      <c r="C35" s="2">
        <v>2.6</v>
      </c>
      <c r="D35" s="2">
        <v>79</v>
      </c>
      <c r="E35" s="2">
        <v>54.24</v>
      </c>
      <c r="F35" s="2">
        <v>60.57</v>
      </c>
    </row>
    <row r="36" spans="1:6" x14ac:dyDescent="0.15">
      <c r="A36" t="s">
        <v>15</v>
      </c>
      <c r="B36" t="s">
        <v>22</v>
      </c>
      <c r="C36" s="2">
        <v>2.6</v>
      </c>
      <c r="D36" s="2">
        <v>84</v>
      </c>
      <c r="E36" s="2">
        <v>57.68</v>
      </c>
      <c r="F36" s="2">
        <v>64.23</v>
      </c>
    </row>
    <row r="37" spans="1:6" x14ac:dyDescent="0.15">
      <c r="A37" t="s">
        <v>16</v>
      </c>
      <c r="B37" t="s">
        <v>22</v>
      </c>
      <c r="C37" s="2">
        <v>2.6</v>
      </c>
      <c r="D37" s="2">
        <v>89</v>
      </c>
      <c r="E37" s="2">
        <v>61.08</v>
      </c>
      <c r="F37" s="2">
        <v>67.930000000000007</v>
      </c>
    </row>
    <row r="38" spans="1:6" x14ac:dyDescent="0.15">
      <c r="A38" t="s">
        <v>17</v>
      </c>
      <c r="B38" t="s">
        <v>22</v>
      </c>
      <c r="C38" s="2">
        <v>2.8</v>
      </c>
      <c r="D38" s="2">
        <v>101</v>
      </c>
      <c r="E38" s="2">
        <v>64.67</v>
      </c>
      <c r="F38" s="2">
        <v>72</v>
      </c>
    </row>
    <row r="39" spans="1:6" x14ac:dyDescent="0.15">
      <c r="A39" t="s">
        <v>18</v>
      </c>
      <c r="B39" t="s">
        <v>22</v>
      </c>
      <c r="C39" s="2">
        <v>2.8</v>
      </c>
      <c r="D39" s="2">
        <v>106</v>
      </c>
      <c r="E39" s="2">
        <v>68.63</v>
      </c>
      <c r="F39" s="2">
        <v>75.66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34" sqref="B34"/>
    </sheetView>
  </sheetViews>
  <sheetFormatPr defaultRowHeight="13.5" x14ac:dyDescent="0.15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13</vt:i4>
      </vt:variant>
    </vt:vector>
  </HeadingPairs>
  <TitlesOfParts>
    <vt:vector size="16" baseType="lpstr">
      <vt:lpstr>計算シート</vt:lpstr>
      <vt:lpstr>部材リスト</vt:lpstr>
      <vt:lpstr>Sheet3</vt:lpstr>
      <vt:lpstr>PM_B</vt:lpstr>
      <vt:lpstr>PM_C</vt:lpstr>
      <vt:lpstr>PM_S</vt:lpstr>
      <vt:lpstr>PM_Z</vt:lpstr>
      <vt:lpstr>X直径</vt:lpstr>
      <vt:lpstr>X部材位置</vt:lpstr>
      <vt:lpstr>X部材番号</vt:lpstr>
      <vt:lpstr>マスト型式名</vt:lpstr>
      <vt:lpstr>部材種類</vt:lpstr>
      <vt:lpstr>部材番号1</vt:lpstr>
      <vt:lpstr>部材番号2</vt:lpstr>
      <vt:lpstr>部材名</vt:lpstr>
      <vt:lpstr>連結長さ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Mizki</dc:creator>
  <cp:lastModifiedBy>Mizki</cp:lastModifiedBy>
  <dcterms:created xsi:type="dcterms:W3CDTF">2017-10-01T04:54:31Z</dcterms:created>
  <dcterms:modified xsi:type="dcterms:W3CDTF">2017-10-06T22:57:45Z</dcterms:modified>
</cp:coreProperties>
</file>